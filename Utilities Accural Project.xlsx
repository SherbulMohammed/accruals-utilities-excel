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bulmohammed/Documents/Finance/Projects/Prepayments &amp; Accurals/"/>
    </mc:Choice>
  </mc:AlternateContent>
  <xr:revisionPtr revIDLastSave="0" documentId="13_ncr:1_{F6795E29-CF9D-C341-8DE6-14E256EC6B95}" xr6:coauthVersionLast="47" xr6:coauthVersionMax="47" xr10:uidLastSave="{00000000-0000-0000-0000-000000000000}"/>
  <bookViews>
    <workbookView xWindow="28800" yWindow="0" windowWidth="33600" windowHeight="21000" xr2:uid="{207EE8E7-8196-764E-8105-3B017CA00E3D}"/>
  </bookViews>
  <sheets>
    <sheet name="Assumptions" sheetId="1" r:id="rId1"/>
    <sheet name="Utilities Accrual Schedule" sheetId="2" r:id="rId2"/>
    <sheet name="Monthly P&amp;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G3" i="3"/>
  <c r="H3" i="3"/>
  <c r="I3" i="3"/>
  <c r="J3" i="3"/>
  <c r="K3" i="3"/>
  <c r="L3" i="3"/>
  <c r="M3" i="3"/>
  <c r="N3" i="3"/>
  <c r="D3" i="3"/>
  <c r="C3" i="3"/>
  <c r="F7" i="2"/>
  <c r="G7" i="2"/>
  <c r="H7" i="2"/>
  <c r="I7" i="2"/>
  <c r="J7" i="2"/>
  <c r="K7" i="2"/>
  <c r="L7" i="2"/>
  <c r="M7" i="2"/>
  <c r="N7" i="2"/>
  <c r="E7" i="2"/>
  <c r="D7" i="2"/>
  <c r="D3" i="2"/>
  <c r="E3" i="2"/>
  <c r="F5" i="2" s="1"/>
  <c r="F3" i="2"/>
  <c r="G3" i="2"/>
  <c r="H3" i="2"/>
  <c r="I3" i="2"/>
  <c r="J3" i="2"/>
  <c r="K3" i="2"/>
  <c r="L5" i="2" s="1"/>
  <c r="L3" i="2"/>
  <c r="M3" i="2"/>
  <c r="N5" i="2" s="1"/>
  <c r="N3" i="2"/>
  <c r="C3" i="2"/>
  <c r="C9" i="2" l="1"/>
  <c r="D9" i="2" l="1"/>
  <c r="E9" i="2" s="1"/>
  <c r="F9" i="2" s="1"/>
  <c r="G9" i="2" s="1"/>
  <c r="H9" i="2" s="1"/>
  <c r="I9" i="2" s="1"/>
  <c r="J9" i="2" s="1"/>
  <c r="K9" i="2" s="1"/>
  <c r="L9" i="2" s="1"/>
  <c r="M9" i="2" s="1"/>
  <c r="N9" i="2" s="1"/>
</calcChain>
</file>

<file path=xl/sharedStrings.xml><?xml version="1.0" encoding="utf-8"?>
<sst xmlns="http://schemas.openxmlformats.org/spreadsheetml/2006/main" count="11" uniqueCount="11">
  <si>
    <t>Item</t>
  </si>
  <si>
    <t>Value</t>
  </si>
  <si>
    <t>Monthly Electricity Cost (Estimate)</t>
  </si>
  <si>
    <t>Start Month</t>
  </si>
  <si>
    <t>End Month</t>
  </si>
  <si>
    <t>Invoice Delay (Months)</t>
  </si>
  <si>
    <t>Invoice Paid</t>
  </si>
  <si>
    <t>Accrual Balance</t>
  </si>
  <si>
    <t>Electricity Expense</t>
  </si>
  <si>
    <t>Electricity Expense (P&amp;L)</t>
  </si>
  <si>
    <t>Adjustment (True-up)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</si>
</sst>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£&quot;* #,##0_);_(&quot;£&quot;* \(#,##0\);_(&quot;£&quot;* &quot;-&quot;_);_(@_)"/>
    <numFmt numFmtId="166" formatCode="_(&quot;£&quot;* #,##0_);_(&quot;£&quot;* \(#,##0\);_(&quot;£&quot;* &quot;-&quot;??_);_(@_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7" fontId="2" fillId="0" borderId="0" xfId="0" applyNumberFormat="1" applyFont="1"/>
    <xf numFmtId="0" fontId="2" fillId="0" borderId="0" xfId="0" applyFont="1" applyBorder="1"/>
    <xf numFmtId="42" fontId="2" fillId="0" borderId="0" xfId="0" applyNumberFormat="1" applyFont="1"/>
    <xf numFmtId="166" fontId="2" fillId="0" borderId="0" xfId="0" applyNumberFormat="1" applyFont="1"/>
    <xf numFmtId="166" fontId="2" fillId="2" borderId="0" xfId="0" applyNumberFormat="1" applyFont="1" applyFill="1"/>
    <xf numFmtId="17" fontId="1" fillId="2" borderId="1" xfId="0" applyNumberFormat="1" applyFont="1" applyFill="1" applyBorder="1" applyAlignment="1">
      <alignment horizontal="center"/>
    </xf>
    <xf numFmtId="166" fontId="2" fillId="0" borderId="2" xfId="0" applyNumberFormat="1" applyFont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63E0-3A4D-5143-9EBA-E6F74A7AE4C5}">
  <dimension ref="B2:C6"/>
  <sheetViews>
    <sheetView tabSelected="1" workbookViewId="0">
      <selection activeCell="C3" sqref="C3"/>
    </sheetView>
  </sheetViews>
  <sheetFormatPr baseColWidth="10" defaultRowHeight="16" x14ac:dyDescent="0.2"/>
  <cols>
    <col min="1" max="1" width="10.83203125" style="3"/>
    <col min="2" max="2" width="30.1640625" style="3" bestFit="1" customWidth="1"/>
    <col min="3" max="16384" width="10.83203125" style="3"/>
  </cols>
  <sheetData>
    <row r="2" spans="2:3" x14ac:dyDescent="0.2">
      <c r="B2" s="2" t="s">
        <v>0</v>
      </c>
      <c r="C2" s="2" t="s">
        <v>1</v>
      </c>
    </row>
    <row r="3" spans="2:3" x14ac:dyDescent="0.2">
      <c r="B3" s="3" t="s">
        <v>2</v>
      </c>
      <c r="C3" s="6">
        <v>300</v>
      </c>
    </row>
    <row r="4" spans="2:3" x14ac:dyDescent="0.2">
      <c r="B4" s="3" t="s">
        <v>5</v>
      </c>
      <c r="C4" s="3">
        <v>1</v>
      </c>
    </row>
    <row r="5" spans="2:3" x14ac:dyDescent="0.2">
      <c r="B5" s="3" t="s">
        <v>3</v>
      </c>
      <c r="C5" s="4">
        <v>46023</v>
      </c>
    </row>
    <row r="6" spans="2:3" x14ac:dyDescent="0.2">
      <c r="B6" s="3" t="s">
        <v>4</v>
      </c>
      <c r="C6" s="4">
        <v>46357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156C-5C22-0F48-BFD0-27D199BACDD3}">
  <dimension ref="B2:N9"/>
  <sheetViews>
    <sheetView workbookViewId="0">
      <selection activeCell="D7" sqref="D7"/>
    </sheetView>
  </sheetViews>
  <sheetFormatPr baseColWidth="10" defaultRowHeight="16" x14ac:dyDescent="0.2"/>
  <cols>
    <col min="1" max="1" width="10.83203125" style="3"/>
    <col min="2" max="2" width="21.6640625" style="3" bestFit="1" customWidth="1"/>
    <col min="3" max="16384" width="10.83203125" style="3"/>
  </cols>
  <sheetData>
    <row r="2" spans="2:14" x14ac:dyDescent="0.2">
      <c r="B2" s="5"/>
      <c r="C2" s="9">
        <v>46023</v>
      </c>
      <c r="D2" s="9">
        <v>46054</v>
      </c>
      <c r="E2" s="9">
        <v>46082</v>
      </c>
      <c r="F2" s="9">
        <v>46113</v>
      </c>
      <c r="G2" s="9">
        <v>46143</v>
      </c>
      <c r="H2" s="9">
        <v>46174</v>
      </c>
      <c r="I2" s="9">
        <v>46204</v>
      </c>
      <c r="J2" s="9">
        <v>46235</v>
      </c>
      <c r="K2" s="9">
        <v>46266</v>
      </c>
      <c r="L2" s="9">
        <v>46296</v>
      </c>
      <c r="M2" s="9">
        <v>46327</v>
      </c>
      <c r="N2" s="9">
        <v>46357</v>
      </c>
    </row>
    <row r="3" spans="2:14" x14ac:dyDescent="0.2">
      <c r="B3" s="3" t="s">
        <v>9</v>
      </c>
      <c r="C3" s="7">
        <f>Assumptions!$C$3</f>
        <v>300</v>
      </c>
      <c r="D3" s="7">
        <f>Assumptions!$C$3</f>
        <v>300</v>
      </c>
      <c r="E3" s="7">
        <f>Assumptions!$C$3</f>
        <v>300</v>
      </c>
      <c r="F3" s="7">
        <f>Assumptions!$C$3</f>
        <v>300</v>
      </c>
      <c r="G3" s="7">
        <f>Assumptions!$C$3</f>
        <v>300</v>
      </c>
      <c r="H3" s="7">
        <f>Assumptions!$C$3</f>
        <v>300</v>
      </c>
      <c r="I3" s="7">
        <f>Assumptions!$C$3</f>
        <v>300</v>
      </c>
      <c r="J3" s="7">
        <f>Assumptions!$C$3</f>
        <v>300</v>
      </c>
      <c r="K3" s="7">
        <f>Assumptions!$C$3</f>
        <v>300</v>
      </c>
      <c r="L3" s="7">
        <f>Assumptions!$C$3</f>
        <v>300</v>
      </c>
      <c r="M3" s="7">
        <f>Assumptions!$C$3</f>
        <v>300</v>
      </c>
      <c r="N3" s="7">
        <f>Assumptions!$C$3</f>
        <v>300</v>
      </c>
    </row>
    <row r="4" spans="2:14" x14ac:dyDescent="0.2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x14ac:dyDescent="0.2">
      <c r="B5" s="3" t="s">
        <v>6</v>
      </c>
      <c r="C5" s="7">
        <v>0</v>
      </c>
      <c r="D5" s="7">
        <v>280</v>
      </c>
      <c r="E5" s="7">
        <v>340</v>
      </c>
      <c r="F5" s="7">
        <f t="shared" ref="E5:N5" si="0">E3</f>
        <v>300</v>
      </c>
      <c r="G5" s="7">
        <v>310</v>
      </c>
      <c r="H5" s="7">
        <v>285</v>
      </c>
      <c r="I5" s="7">
        <v>290</v>
      </c>
      <c r="J5" s="7">
        <v>305</v>
      </c>
      <c r="K5" s="7">
        <v>330</v>
      </c>
      <c r="L5" s="7">
        <f t="shared" si="0"/>
        <v>300</v>
      </c>
      <c r="M5" s="7">
        <v>290</v>
      </c>
      <c r="N5" s="7">
        <f t="shared" si="0"/>
        <v>300</v>
      </c>
    </row>
    <row r="6" spans="2:14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x14ac:dyDescent="0.2">
      <c r="B7" s="3" t="s">
        <v>10</v>
      </c>
      <c r="C7" s="6">
        <v>0</v>
      </c>
      <c r="D7" s="6">
        <f>D5-C3</f>
        <v>-20</v>
      </c>
      <c r="E7" s="6">
        <f>E5-D3</f>
        <v>40</v>
      </c>
      <c r="F7" s="6">
        <f t="shared" ref="F7:N7" si="1">F5-E3</f>
        <v>0</v>
      </c>
      <c r="G7" s="6">
        <f t="shared" si="1"/>
        <v>10</v>
      </c>
      <c r="H7" s="6">
        <f t="shared" si="1"/>
        <v>-15</v>
      </c>
      <c r="I7" s="6">
        <f t="shared" si="1"/>
        <v>-10</v>
      </c>
      <c r="J7" s="6">
        <f t="shared" si="1"/>
        <v>5</v>
      </c>
      <c r="K7" s="6">
        <f t="shared" si="1"/>
        <v>30</v>
      </c>
      <c r="L7" s="6">
        <f t="shared" si="1"/>
        <v>0</v>
      </c>
      <c r="M7" s="6">
        <f t="shared" si="1"/>
        <v>-10</v>
      </c>
      <c r="N7" s="6">
        <f t="shared" si="1"/>
        <v>0</v>
      </c>
    </row>
    <row r="8" spans="2:14" ht="17" thickBot="1" x14ac:dyDescent="0.25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 x14ac:dyDescent="0.2">
      <c r="B9" s="1" t="s">
        <v>7</v>
      </c>
      <c r="C9" s="7">
        <f>C3-C5</f>
        <v>300</v>
      </c>
      <c r="D9" s="7">
        <f>C9+D3-D5</f>
        <v>320</v>
      </c>
      <c r="E9" s="7">
        <f>D9+E3-E5</f>
        <v>280</v>
      </c>
      <c r="F9" s="7">
        <f>E9+F3-F5</f>
        <v>280</v>
      </c>
      <c r="G9" s="7">
        <f>F9+G3-G5</f>
        <v>270</v>
      </c>
      <c r="H9" s="7">
        <f>G9+H3-H5</f>
        <v>285</v>
      </c>
      <c r="I9" s="7">
        <f>H9+I3-I5</f>
        <v>295</v>
      </c>
      <c r="J9" s="7">
        <f>I9+J3-J5</f>
        <v>290</v>
      </c>
      <c r="K9" s="7">
        <f>J9+K3-K5</f>
        <v>260</v>
      </c>
      <c r="L9" s="7">
        <f>K9+L3-L5</f>
        <v>260</v>
      </c>
      <c r="M9" s="7">
        <f>L9+M3-M5</f>
        <v>270</v>
      </c>
      <c r="N9" s="7">
        <f>M9+N3-N5</f>
        <v>270</v>
      </c>
    </row>
  </sheetData>
  <conditionalFormatting sqref="C7:N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3D4D-BDF2-7F41-B9C9-3F9587EEACB1}">
  <dimension ref="B2:N3"/>
  <sheetViews>
    <sheetView workbookViewId="0">
      <selection activeCell="D9" sqref="D9"/>
    </sheetView>
  </sheetViews>
  <sheetFormatPr baseColWidth="10" defaultRowHeight="16" x14ac:dyDescent="0.2"/>
  <cols>
    <col min="1" max="1" width="10.83203125" style="3"/>
    <col min="2" max="2" width="16.5" style="3" bestFit="1" customWidth="1"/>
    <col min="3" max="16384" width="10.83203125" style="3"/>
  </cols>
  <sheetData>
    <row r="2" spans="2:14" x14ac:dyDescent="0.2">
      <c r="C2" s="9">
        <v>46023</v>
      </c>
      <c r="D2" s="9">
        <v>46054</v>
      </c>
      <c r="E2" s="9">
        <v>46082</v>
      </c>
      <c r="F2" s="9">
        <v>46113</v>
      </c>
      <c r="G2" s="9">
        <v>46143</v>
      </c>
      <c r="H2" s="9">
        <v>46174</v>
      </c>
      <c r="I2" s="9">
        <v>46204</v>
      </c>
      <c r="J2" s="9">
        <v>46235</v>
      </c>
      <c r="K2" s="9">
        <v>46266</v>
      </c>
      <c r="L2" s="9">
        <v>46296</v>
      </c>
      <c r="M2" s="9">
        <v>46327</v>
      </c>
      <c r="N2" s="9">
        <v>46357</v>
      </c>
    </row>
    <row r="3" spans="2:14" x14ac:dyDescent="0.2">
      <c r="B3" s="3" t="s">
        <v>8</v>
      </c>
      <c r="C3" s="6">
        <f>'Utilities Accrual Schedule'!C3</f>
        <v>300</v>
      </c>
      <c r="D3" s="6">
        <f>'Utilities Accrual Schedule'!D3+'Utilities Accrual Schedule'!D7</f>
        <v>280</v>
      </c>
      <c r="E3" s="6">
        <f>'Utilities Accrual Schedule'!E3+'Utilities Accrual Schedule'!E7</f>
        <v>340</v>
      </c>
      <c r="F3" s="6">
        <f>'Utilities Accrual Schedule'!F3+'Utilities Accrual Schedule'!F7</f>
        <v>300</v>
      </c>
      <c r="G3" s="6">
        <f>'Utilities Accrual Schedule'!G3+'Utilities Accrual Schedule'!G7</f>
        <v>310</v>
      </c>
      <c r="H3" s="6">
        <f>'Utilities Accrual Schedule'!H3+'Utilities Accrual Schedule'!H7</f>
        <v>285</v>
      </c>
      <c r="I3" s="6">
        <f>'Utilities Accrual Schedule'!I3+'Utilities Accrual Schedule'!I7</f>
        <v>290</v>
      </c>
      <c r="J3" s="6">
        <f>'Utilities Accrual Schedule'!J3+'Utilities Accrual Schedule'!J7</f>
        <v>305</v>
      </c>
      <c r="K3" s="6">
        <f>'Utilities Accrual Schedule'!K3+'Utilities Accrual Schedule'!K7</f>
        <v>330</v>
      </c>
      <c r="L3" s="6">
        <f>'Utilities Accrual Schedule'!L3+'Utilities Accrual Schedule'!L7</f>
        <v>300</v>
      </c>
      <c r="M3" s="6">
        <f>'Utilities Accrual Schedule'!M3+'Utilities Accrual Schedule'!M7</f>
        <v>290</v>
      </c>
      <c r="N3" s="6">
        <f>'Utilities Accrual Schedule'!N3+'Utilities Accrual Schedule'!N7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Utilities Accrual Schedule</vt:lpstr>
      <vt:lpstr>Monthly 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Sherbul Mohammed</dc:creator>
  <cp:lastModifiedBy>Sherbul Mohammed</cp:lastModifiedBy>
  <dcterms:created xsi:type="dcterms:W3CDTF">2025-12-27T13:36:21Z</dcterms:created>
  <dcterms:modified xsi:type="dcterms:W3CDTF">2025-12-28T19:23:06Z</dcterms:modified>
</cp:coreProperties>
</file>